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527" codeName="{82680DD9-3F13-7979-5B5F-3D2375947C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91709\Documents\"/>
    </mc:Choice>
  </mc:AlternateContent>
  <xr:revisionPtr revIDLastSave="0" documentId="13_ncr:1_{7BB6DB30-3DBE-4A1A-95D1-2048FE6615A2}" xr6:coauthVersionLast="47" xr6:coauthVersionMax="47" xr10:uidLastSave="{00000000-0000-0000-0000-000000000000}"/>
  <bookViews>
    <workbookView xWindow="-120" yWindow="-120" windowWidth="20730" windowHeight="11040" xr2:uid="{7F9B30A1-313E-46F9-82D0-644E694334B4}"/>
  </bookViews>
  <sheets>
    <sheet name="Sheet1" sheetId="1" r:id="rId1"/>
    <sheet name="Sheet2" sheetId="2" r:id="rId2"/>
  </sheets>
  <functionGroups builtInGroupCount="19"/>
  <definedNames>
    <definedName name="_xlnm.Print_Area" localSheetId="0">Sheet1!$A$1:$I$27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24" i="1" l="1"/>
  <c r="H23" i="1"/>
  <c r="H22" i="1"/>
  <c r="A15" i="1"/>
  <c r="A16" i="1"/>
  <c r="A17" i="1"/>
  <c r="A18" i="1"/>
  <c r="A19" i="1"/>
  <c r="A20" i="1"/>
  <c r="A11" i="1"/>
  <c r="A12" i="1" s="1"/>
  <c r="A13" i="1" s="1"/>
  <c r="A14" i="1" s="1"/>
  <c r="C8" i="1"/>
  <c r="C7" i="1"/>
  <c r="F12" i="1"/>
  <c r="G12" i="1" s="1"/>
  <c r="F13" i="1"/>
  <c r="G13" i="1" s="1"/>
  <c r="F14" i="1"/>
  <c r="G14" i="1" s="1"/>
  <c r="F15" i="1"/>
  <c r="G15" i="1" s="1"/>
  <c r="F16" i="1"/>
  <c r="G16" i="1" s="1"/>
  <c r="F17" i="1"/>
  <c r="G17" i="1" s="1"/>
  <c r="F18" i="1"/>
  <c r="G18" i="1" s="1"/>
  <c r="F19" i="1"/>
  <c r="G19" i="1" s="1"/>
  <c r="D12" i="1"/>
  <c r="D13" i="1"/>
  <c r="D14" i="1"/>
  <c r="D15" i="1"/>
  <c r="D16" i="1"/>
  <c r="D17" i="1"/>
  <c r="D18" i="1"/>
  <c r="D19" i="1"/>
  <c r="F11" i="1"/>
  <c r="G11" i="1" s="1"/>
  <c r="D11" i="1"/>
  <c r="C12" i="1"/>
  <c r="C13" i="1"/>
  <c r="C14" i="1"/>
  <c r="C15" i="1"/>
  <c r="C16" i="1"/>
  <c r="C17" i="1"/>
  <c r="C18" i="1"/>
  <c r="C19" i="1"/>
  <c r="C20" i="1"/>
  <c r="C11" i="1"/>
  <c r="A22" i="1"/>
  <c r="A23" i="1"/>
  <c r="A24" i="1"/>
  <c r="I7" i="1"/>
  <c r="H11" i="1" l="1"/>
  <c r="I11" i="1" s="1"/>
  <c r="H17" i="1"/>
  <c r="I17" i="1" s="1"/>
  <c r="H16" i="1"/>
  <c r="I16" i="1" s="1"/>
  <c r="H15" i="1"/>
  <c r="I15" i="1" s="1"/>
  <c r="H14" i="1"/>
  <c r="I14" i="1" s="1"/>
  <c r="H13" i="1"/>
  <c r="I13" i="1" s="1"/>
  <c r="H12" i="1"/>
  <c r="I12" i="1" s="1"/>
  <c r="H18" i="1"/>
  <c r="I18" i="1" s="1"/>
  <c r="I21" i="1"/>
  <c r="H19" i="1"/>
  <c r="I19" i="1" s="1"/>
  <c r="I25" i="1" l="1"/>
  <c r="C25" i="1" s="1" a="1"/>
  <c r="I22" i="1" l="1"/>
  <c r="I23" i="1"/>
  <c r="I2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<sst xmlns="http://schemas.openxmlformats.org/spreadsheetml/2006/main" count="60" uniqueCount="57">
  <si>
    <t>Item Details</t>
  </si>
  <si>
    <t>HSN Code</t>
  </si>
  <si>
    <t>GST Rate</t>
  </si>
  <si>
    <t>Rate</t>
  </si>
  <si>
    <t>KEYBOARD</t>
  </si>
  <si>
    <t>MOUSE</t>
  </si>
  <si>
    <t>DESKTOP</t>
  </si>
  <si>
    <t>PRINTER</t>
  </si>
  <si>
    <t>SCANNER</t>
  </si>
  <si>
    <t>UPS</t>
  </si>
  <si>
    <t>SOUND CARD</t>
  </si>
  <si>
    <t>DVD</t>
  </si>
  <si>
    <t>COOLER FAN</t>
  </si>
  <si>
    <t>RAM</t>
  </si>
  <si>
    <t>PARTY NAME</t>
  </si>
  <si>
    <t>GST NO</t>
  </si>
  <si>
    <t>ADDRESS</t>
  </si>
  <si>
    <t>KOHLI &amp; SONS</t>
  </si>
  <si>
    <t>BASU &amp; CO</t>
  </si>
  <si>
    <t>AGARWAL &amp; CO</t>
  </si>
  <si>
    <t>JAJODIA STILL</t>
  </si>
  <si>
    <t>APPOLO LTD</t>
  </si>
  <si>
    <t>GST NO. 07BBBAAAAA1ZS</t>
  </si>
  <si>
    <t>GST NO. 08AAAAAAAA1ZS</t>
  </si>
  <si>
    <t>GST NO. 09CCCAAAAA1ZS</t>
  </si>
  <si>
    <t>GST NO. 07DDDAAAAA1ZS</t>
  </si>
  <si>
    <t>GST NO. 07EEEAAAAA1ZS</t>
  </si>
  <si>
    <t>GST NO. 07FFFAAAAA1ZP</t>
  </si>
  <si>
    <t>AZARA, GUWAHATI</t>
  </si>
  <si>
    <t>FANCY BAZAR, GUWAHATI</t>
  </si>
  <si>
    <t>SHILLONG, MEGHALAYA</t>
  </si>
  <si>
    <t>KOHIMA, NAGALAND</t>
  </si>
  <si>
    <t>SOUTH EX, NEW DELHI</t>
  </si>
  <si>
    <t>TAX INVOICE</t>
  </si>
  <si>
    <t>Party Name</t>
  </si>
  <si>
    <t>GST NO.</t>
  </si>
  <si>
    <t>Address</t>
  </si>
  <si>
    <t>Invoice No.</t>
  </si>
  <si>
    <t>Date</t>
  </si>
  <si>
    <t>Sale Type</t>
  </si>
  <si>
    <t>S.NO.</t>
  </si>
  <si>
    <t>HSN CODE</t>
  </si>
  <si>
    <t>GST RATE</t>
  </si>
  <si>
    <t>RATE</t>
  </si>
  <si>
    <t>AMOUNT</t>
  </si>
  <si>
    <t>GST AMOUNT</t>
  </si>
  <si>
    <t>TOTAL AMOUNT</t>
  </si>
  <si>
    <t>Amount in Word</t>
  </si>
  <si>
    <t>TOTAL</t>
  </si>
  <si>
    <t>GST NO 07AAAAAAAA1ZS</t>
  </si>
  <si>
    <t>DESCRIPTION OF GOODS</t>
  </si>
  <si>
    <t>QTY</t>
  </si>
  <si>
    <t>InterState Sale</t>
  </si>
  <si>
    <t>ENTERPRICE LTD</t>
  </si>
  <si>
    <t>ULUBARI, GUWAHATI</t>
  </si>
  <si>
    <t>CIRCA CO</t>
  </si>
  <si>
    <t>SOUTH DELHI, NEW DELHI-775372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</si>
</sst>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₹&quot;\ #,##0.00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5" tint="-0.499984740745262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7" tint="-0.499984740745262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1">
    <xf numFmtId="0" fontId="0" fillId="0" borderId="0" xfId="0"/>
    <xf numFmtId="0" fontId="0" fillId="0" borderId="1" xfId="0" applyBorder="1"/>
    <xf numFmtId="0" fontId="2" fillId="2" borderId="1" xfId="0" applyFont="1" applyFill="1" applyBorder="1" applyAlignment="1">
      <alignment horizontal="center" vertical="top"/>
    </xf>
    <xf numFmtId="9" fontId="2" fillId="2" borderId="1" xfId="1" applyFont="1" applyFill="1" applyBorder="1" applyAlignment="1">
      <alignment horizontal="center" vertical="top"/>
    </xf>
    <xf numFmtId="0" fontId="0" fillId="3" borderId="1" xfId="0" applyFill="1" applyBorder="1" applyAlignment="1">
      <alignment horizontal="center" vertical="top"/>
    </xf>
    <xf numFmtId="9" fontId="0" fillId="3" borderId="1" xfId="1" applyFont="1" applyFill="1" applyBorder="1" applyAlignment="1">
      <alignment horizontal="center" vertical="top"/>
    </xf>
    <xf numFmtId="164" fontId="0" fillId="3" borderId="1" xfId="0" applyNumberFormat="1" applyFill="1" applyBorder="1" applyAlignment="1">
      <alignment horizontal="center" vertical="top"/>
    </xf>
    <xf numFmtId="0" fontId="2" fillId="4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5" fillId="10" borderId="1" xfId="0" applyFont="1" applyFill="1" applyBorder="1"/>
    <xf numFmtId="0" fontId="2" fillId="9" borderId="1" xfId="0" applyFont="1" applyFill="1" applyBorder="1"/>
    <xf numFmtId="0" fontId="5" fillId="4" borderId="1" xfId="0" applyFont="1" applyFill="1" applyBorder="1"/>
    <xf numFmtId="14" fontId="0" fillId="0" borderId="1" xfId="0" applyNumberFormat="1" applyBorder="1"/>
    <xf numFmtId="0" fontId="0" fillId="0" borderId="1" xfId="0" applyBorder="1" applyAlignment="1">
      <alignment horizontal="right"/>
    </xf>
    <xf numFmtId="0" fontId="4" fillId="5" borderId="1" xfId="0" applyFont="1" applyFill="1" applyBorder="1" applyAlignment="1">
      <alignment horizontal="center"/>
    </xf>
    <xf numFmtId="0" fontId="5" fillId="7" borderId="1" xfId="0" applyFont="1" applyFill="1" applyBorder="1" applyAlignment="1">
      <alignment horizontal="center"/>
    </xf>
    <xf numFmtId="0" fontId="6" fillId="8" borderId="1" xfId="0" applyFont="1" applyFill="1" applyBorder="1" applyAlignment="1">
      <alignment horizontal="center"/>
    </xf>
    <xf numFmtId="0" fontId="3" fillId="6" borderId="1" xfId="0" applyFont="1" applyFill="1" applyBorder="1" applyAlignment="1">
      <alignment horizontal="center" vertical="center"/>
    </xf>
    <xf numFmtId="0" fontId="2" fillId="9" borderId="1" xfId="0" applyFont="1" applyFill="1" applyBorder="1" applyAlignment="1">
      <alignment horizontal="left"/>
    </xf>
    <xf numFmtId="0" fontId="5" fillId="4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330200</xdr:colOff>
      <xdr:row>3</xdr:row>
      <xdr:rowOff>0</xdr:rowOff>
    </xdr:from>
    <xdr:to>
      <xdr:col>11</xdr:col>
      <xdr:colOff>558800</xdr:colOff>
      <xdr:row>7</xdr:row>
      <xdr:rowOff>0</xdr:rowOff>
    </xdr:to>
    <xdr:sp macro="[0]!SaveInvoiceAsPDFAnd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2FCCCE18-AFD2-D4A2-E493-17E1C24FA0B1}"/>
            </a:ext>
          </a:extLst>
        </xdr:cNvPr>
        <xdr:cNvSpPr/>
      </xdr:nvSpPr>
      <xdr:spPr>
        <a:xfrm>
          <a:off x="9448800" y="622300"/>
          <a:ext cx="1447800" cy="787400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IN" sz="1600"/>
            <a:t>SAVE INVOICE AS PDF</a:t>
          </a:r>
        </a:p>
      </xdr:txBody>
    </xdr:sp>
    <xdr:clientData/>
  </xdr:twoCellAnchor>
  <xdr:twoCellAnchor>
    <xdr:from>
      <xdr:col>9</xdr:col>
      <xdr:colOff>317500</xdr:colOff>
      <xdr:row>9</xdr:row>
      <xdr:rowOff>12700</xdr:rowOff>
    </xdr:from>
    <xdr:to>
      <xdr:col>11</xdr:col>
      <xdr:colOff>533400</xdr:colOff>
      <xdr:row>12</xdr:row>
      <xdr:rowOff>177800</xdr:rowOff>
    </xdr:to>
    <xdr:sp macro="[0]!Module2.SaveInvoiceWithNewNam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D5004666-79B7-FD7F-5630-A8E8728F7FAF}"/>
            </a:ext>
          </a:extLst>
        </xdr:cNvPr>
        <xdr:cNvSpPr/>
      </xdr:nvSpPr>
      <xdr:spPr>
        <a:xfrm>
          <a:off x="9436100" y="1803400"/>
          <a:ext cx="1435100" cy="749300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IN" sz="1600"/>
            <a:t>NEW</a:t>
          </a:r>
          <a:r>
            <a:rPr lang="en-IN" sz="1600" baseline="0"/>
            <a:t> INVOICE</a:t>
          </a:r>
          <a:endParaRPr lang="en-IN" sz="1600"/>
        </a:p>
      </xdr:txBody>
    </xdr:sp>
    <xdr:clientData/>
  </xdr:twoCellAnchor>
  <xdr:twoCellAnchor>
    <xdr:from>
      <xdr:col>9</xdr:col>
      <xdr:colOff>317500</xdr:colOff>
      <xdr:row>14</xdr:row>
      <xdr:rowOff>177800</xdr:rowOff>
    </xdr:from>
    <xdr:to>
      <xdr:col>11</xdr:col>
      <xdr:colOff>546100</xdr:colOff>
      <xdr:row>19</xdr:row>
      <xdr:rowOff>25400</xdr:rowOff>
    </xdr:to>
    <xdr:sp macro="[0]!printinvoice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19AF1EDD-8EE7-C0BC-3392-B216F452D4DD}"/>
            </a:ext>
          </a:extLst>
        </xdr:cNvPr>
        <xdr:cNvSpPr/>
      </xdr:nvSpPr>
      <xdr:spPr>
        <a:xfrm>
          <a:off x="9436100" y="2933700"/>
          <a:ext cx="1447800" cy="800100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IN" sz="1600"/>
            <a:t>PRINT INVOICE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Red Violet">
      <a:dk1>
        <a:sysClr val="windowText" lastClr="000000"/>
      </a:dk1>
      <a:lt1>
        <a:sysClr val="window" lastClr="FFFFFF"/>
      </a:lt1>
      <a:dk2>
        <a:srgbClr val="454551"/>
      </a:dk2>
      <a:lt2>
        <a:srgbClr val="D8D9DC"/>
      </a:lt2>
      <a:accent1>
        <a:srgbClr val="E32D91"/>
      </a:accent1>
      <a:accent2>
        <a:srgbClr val="C830CC"/>
      </a:accent2>
      <a:accent3>
        <a:srgbClr val="4EA6DC"/>
      </a:accent3>
      <a:accent4>
        <a:srgbClr val="4775E7"/>
      </a:accent4>
      <a:accent5>
        <a:srgbClr val="8971E1"/>
      </a:accent5>
      <a:accent6>
        <a:srgbClr val="D54773"/>
      </a:accent6>
      <a:hlink>
        <a:srgbClr val="6B9F25"/>
      </a:hlink>
      <a:folHlink>
        <a:srgbClr val="8C8C8C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0A1E10-0ACD-4BD8-95CF-B9588DF17A28}">
  <sheetPr codeName="Sheet1"/>
  <dimension ref="A1:I25"/>
  <sheetViews>
    <sheetView tabSelected="1" zoomScale="75" zoomScaleNormal="75" workbookViewId="0">
      <selection activeCell="C6" sqref="C6:G6"/>
    </sheetView>
  </sheetViews>
  <sheetFormatPr defaultRowHeight="15" x14ac:dyDescent="0.25"/>
  <cols>
    <col min="1" max="1" width="11.42578125" customWidth="1"/>
    <col min="2" max="2" width="25.5703125" customWidth="1"/>
    <col min="3" max="3" width="11.42578125" customWidth="1"/>
    <col min="4" max="4" width="10.5703125" customWidth="1"/>
    <col min="6" max="6" width="11.28515625" customWidth="1"/>
    <col min="7" max="7" width="16.5703125" customWidth="1"/>
    <col min="8" max="8" width="17.85546875" customWidth="1"/>
    <col min="9" max="9" width="22.85546875" customWidth="1"/>
  </cols>
  <sheetData>
    <row r="1" spans="1:9" ht="18.75" x14ac:dyDescent="0.3">
      <c r="A1" s="14" t="s">
        <v>33</v>
      </c>
      <c r="B1" s="14"/>
      <c r="C1" s="14"/>
      <c r="D1" s="14"/>
      <c r="E1" s="14"/>
      <c r="F1" s="14"/>
      <c r="G1" s="14"/>
      <c r="H1" s="14"/>
      <c r="I1" s="14"/>
    </row>
    <row r="2" spans="1:9" x14ac:dyDescent="0.25">
      <c r="A2" s="17" t="s">
        <v>55</v>
      </c>
      <c r="B2" s="17"/>
      <c r="C2" s="17"/>
      <c r="D2" s="17"/>
      <c r="E2" s="17"/>
      <c r="F2" s="17"/>
      <c r="G2" s="17"/>
      <c r="H2" s="17"/>
      <c r="I2" s="17"/>
    </row>
    <row r="3" spans="1:9" x14ac:dyDescent="0.25">
      <c r="A3" s="17"/>
      <c r="B3" s="17"/>
      <c r="C3" s="17"/>
      <c r="D3" s="17"/>
      <c r="E3" s="17"/>
      <c r="F3" s="17"/>
      <c r="G3" s="17"/>
      <c r="H3" s="17"/>
      <c r="I3" s="17"/>
    </row>
    <row r="4" spans="1:9" ht="15.75" x14ac:dyDescent="0.25">
      <c r="A4" s="15" t="s">
        <v>56</v>
      </c>
      <c r="B4" s="15"/>
      <c r="C4" s="15"/>
      <c r="D4" s="15"/>
      <c r="E4" s="15"/>
      <c r="F4" s="15"/>
      <c r="G4" s="15"/>
      <c r="H4" s="15"/>
      <c r="I4" s="15"/>
    </row>
    <row r="5" spans="1:9" ht="15.75" x14ac:dyDescent="0.25">
      <c r="A5" s="16" t="s">
        <v>49</v>
      </c>
      <c r="B5" s="16"/>
      <c r="C5" s="16"/>
      <c r="D5" s="16"/>
      <c r="E5" s="16"/>
      <c r="F5" s="16"/>
      <c r="G5" s="16"/>
      <c r="H5" s="16"/>
      <c r="I5" s="16"/>
    </row>
    <row r="6" spans="1:9" x14ac:dyDescent="0.25">
      <c r="A6" s="18" t="s">
        <v>34</v>
      </c>
      <c r="B6" s="18"/>
      <c r="C6" s="20" t="s">
        <v>53</v>
      </c>
      <c r="D6" s="20"/>
      <c r="E6" s="20"/>
      <c r="F6" s="20"/>
      <c r="G6" s="20"/>
      <c r="H6" s="10" t="s">
        <v>37</v>
      </c>
      <c r="I6" s="1">
        <v>4</v>
      </c>
    </row>
    <row r="7" spans="1:9" x14ac:dyDescent="0.25">
      <c r="A7" s="18" t="s">
        <v>35</v>
      </c>
      <c r="B7" s="18"/>
      <c r="C7" s="20" t="str">
        <f>IFERROR(VLOOKUP(C6,Sheet2!A15:C21,2,0),"")</f>
        <v>GST NO. 08AAAAAAAA1ZS</v>
      </c>
      <c r="D7" s="20"/>
      <c r="E7" s="20"/>
      <c r="F7" s="20"/>
      <c r="G7" s="20"/>
      <c r="H7" s="10" t="s">
        <v>38</v>
      </c>
      <c r="I7" s="12">
        <f ca="1">TODAY()</f>
        <v>46323</v>
      </c>
    </row>
    <row r="8" spans="1:9" x14ac:dyDescent="0.25">
      <c r="A8" s="18" t="s">
        <v>36</v>
      </c>
      <c r="B8" s="18"/>
      <c r="C8" s="20" t="str">
        <f>IFERROR(VLOOKUP(C6,Sheet2!A16:C22,3,0),"")</f>
        <v>ULUBARI, GUWAHATI</v>
      </c>
      <c r="D8" s="20"/>
      <c r="E8" s="20"/>
      <c r="F8" s="20"/>
      <c r="G8" s="20"/>
      <c r="H8" s="10" t="s">
        <v>39</v>
      </c>
      <c r="I8" s="13" t="s">
        <v>52</v>
      </c>
    </row>
    <row r="9" spans="1:9" x14ac:dyDescent="0.25">
      <c r="A9" s="20"/>
      <c r="B9" s="20"/>
      <c r="C9" s="20"/>
      <c r="D9" s="20"/>
      <c r="E9" s="20"/>
      <c r="F9" s="20"/>
      <c r="G9" s="20"/>
      <c r="H9" s="20"/>
      <c r="I9" s="20"/>
    </row>
    <row r="10" spans="1:9" ht="15.75" x14ac:dyDescent="0.25">
      <c r="A10" s="9" t="s">
        <v>40</v>
      </c>
      <c r="B10" s="9" t="s">
        <v>50</v>
      </c>
      <c r="C10" s="9" t="s">
        <v>41</v>
      </c>
      <c r="D10" s="9" t="s">
        <v>42</v>
      </c>
      <c r="E10" s="9" t="s">
        <v>51</v>
      </c>
      <c r="F10" s="9" t="s">
        <v>43</v>
      </c>
      <c r="G10" s="9" t="s">
        <v>44</v>
      </c>
      <c r="H10" s="9" t="s">
        <v>45</v>
      </c>
      <c r="I10" s="9" t="s">
        <v>46</v>
      </c>
    </row>
    <row r="11" spans="1:9" x14ac:dyDescent="0.25">
      <c r="A11" s="1">
        <f>IF(B11="","",1)</f>
        <v>1</v>
      </c>
      <c r="B11" s="1" t="s">
        <v>7</v>
      </c>
      <c r="C11" s="1">
        <f>IFERROR(VLOOKUP(B11,Sheet2!$A$1:$D$11,2,0)," ")</f>
        <v>7321</v>
      </c>
      <c r="D11" s="1">
        <f>IFERROR(VLOOKUP(B11,Sheet2!$A$1:$D$11,3,0)," ")</f>
        <v>0.18</v>
      </c>
      <c r="E11" s="1"/>
      <c r="F11" s="1">
        <f>IFERROR(VLOOKUP(B11,Sheet2!$A$1:$D$11,4,0)," ")</f>
        <v>8000</v>
      </c>
      <c r="G11" s="1">
        <f>IFERROR(E11*F11," ")</f>
        <v>0</v>
      </c>
      <c r="H11" s="1">
        <f>IFERROR(G11*D11," ")</f>
        <v>0</v>
      </c>
      <c r="I11" s="1">
        <f>IFERROR(G11+H11," ")</f>
        <v>0</v>
      </c>
    </row>
    <row r="12" spans="1:9" x14ac:dyDescent="0.25">
      <c r="A12" s="1" t="str">
        <f>IF(B12="", "", A11+1)</f>
        <v/>
      </c>
      <c r="B12" s="1"/>
      <c r="C12" s="1" t="str">
        <f>IFERROR(VLOOKUP(B12,Sheet2!$A$1:$D$11,2,0)," ")</f>
        <v xml:space="preserve"> </v>
      </c>
      <c r="D12" s="1" t="str">
        <f>IFERROR(VLOOKUP(B12,Sheet2!$A$1:$D$11,3,0)," ")</f>
        <v xml:space="preserve"> </v>
      </c>
      <c r="E12" s="1"/>
      <c r="F12" s="1" t="str">
        <f>IFERROR(VLOOKUP(B12,Sheet2!$A$1:$D$11,4,0)," ")</f>
        <v xml:space="preserve"> </v>
      </c>
      <c r="G12" s="1" t="str">
        <f t="shared" ref="G12:G19" si="0">IFERROR(E12*F12," ")</f>
        <v xml:space="preserve"> </v>
      </c>
      <c r="H12" s="1" t="str">
        <f t="shared" ref="H12:H19" si="1">IFERROR(G12*D12," ")</f>
        <v xml:space="preserve"> </v>
      </c>
      <c r="I12" s="1" t="str">
        <f t="shared" ref="I12:I19" si="2">IFERROR(G12+H12," ")</f>
        <v xml:space="preserve"> </v>
      </c>
    </row>
    <row r="13" spans="1:9" x14ac:dyDescent="0.25">
      <c r="A13" s="1" t="str">
        <f t="shared" ref="A13:A20" si="3">IF(B13="", "", A12+1)</f>
        <v/>
      </c>
      <c r="B13" s="1"/>
      <c r="C13" s="1" t="str">
        <f>IFERROR(VLOOKUP(B13,Sheet2!$A$1:$D$11,2,0)," ")</f>
        <v xml:space="preserve"> </v>
      </c>
      <c r="D13" s="1" t="str">
        <f>IFERROR(VLOOKUP(B13,Sheet2!$A$1:$D$11,3,0)," ")</f>
        <v xml:space="preserve"> </v>
      </c>
      <c r="E13" s="1"/>
      <c r="F13" s="1" t="str">
        <f>IFERROR(VLOOKUP(B13,Sheet2!$A$1:$D$11,4,0)," ")</f>
        <v xml:space="preserve"> </v>
      </c>
      <c r="G13" s="1" t="str">
        <f t="shared" si="0"/>
        <v xml:space="preserve"> </v>
      </c>
      <c r="H13" s="1" t="str">
        <f t="shared" si="1"/>
        <v xml:space="preserve"> </v>
      </c>
      <c r="I13" s="1" t="str">
        <f t="shared" si="2"/>
        <v xml:space="preserve"> </v>
      </c>
    </row>
    <row r="14" spans="1:9" x14ac:dyDescent="0.25">
      <c r="A14" s="1" t="str">
        <f t="shared" si="3"/>
        <v/>
      </c>
      <c r="B14" s="1"/>
      <c r="C14" s="1" t="str">
        <f>IFERROR(VLOOKUP(B14,Sheet2!$A$1:$D$11,2,0)," ")</f>
        <v xml:space="preserve"> </v>
      </c>
      <c r="D14" s="1" t="str">
        <f>IFERROR(VLOOKUP(B14,Sheet2!$A$1:$D$11,3,0)," ")</f>
        <v xml:space="preserve"> </v>
      </c>
      <c r="E14" s="1"/>
      <c r="F14" s="1" t="str">
        <f>IFERROR(VLOOKUP(B14,Sheet2!$A$1:$D$11,4,0)," ")</f>
        <v xml:space="preserve"> </v>
      </c>
      <c r="G14" s="1" t="str">
        <f t="shared" si="0"/>
        <v xml:space="preserve"> </v>
      </c>
      <c r="H14" s="1" t="str">
        <f t="shared" si="1"/>
        <v xml:space="preserve"> </v>
      </c>
      <c r="I14" s="1" t="str">
        <f t="shared" si="2"/>
        <v xml:space="preserve"> </v>
      </c>
    </row>
    <row r="15" spans="1:9" x14ac:dyDescent="0.25">
      <c r="A15" s="1" t="str">
        <f t="shared" si="3"/>
        <v/>
      </c>
      <c r="B15" s="1"/>
      <c r="C15" s="1" t="str">
        <f>IFERROR(VLOOKUP(B15,Sheet2!$A$1:$D$11,2,0)," ")</f>
        <v xml:space="preserve"> </v>
      </c>
      <c r="D15" s="1" t="str">
        <f>IFERROR(VLOOKUP(B15,Sheet2!$A$1:$D$11,3,0)," ")</f>
        <v xml:space="preserve"> </v>
      </c>
      <c r="E15" s="1"/>
      <c r="F15" s="1" t="str">
        <f>IFERROR(VLOOKUP(B15,Sheet2!$A$1:$D$11,4,0)," ")</f>
        <v xml:space="preserve"> </v>
      </c>
      <c r="G15" s="1" t="str">
        <f t="shared" si="0"/>
        <v xml:space="preserve"> </v>
      </c>
      <c r="H15" s="1" t="str">
        <f t="shared" si="1"/>
        <v xml:space="preserve"> </v>
      </c>
      <c r="I15" s="1" t="str">
        <f t="shared" si="2"/>
        <v xml:space="preserve"> </v>
      </c>
    </row>
    <row r="16" spans="1:9" x14ac:dyDescent="0.25">
      <c r="A16" s="1" t="str">
        <f t="shared" si="3"/>
        <v/>
      </c>
      <c r="B16" s="1"/>
      <c r="C16" s="1" t="str">
        <f>IFERROR(VLOOKUP(B16,Sheet2!$A$1:$D$11,2,0)," ")</f>
        <v xml:space="preserve"> </v>
      </c>
      <c r="D16" s="1" t="str">
        <f>IFERROR(VLOOKUP(B16,Sheet2!$A$1:$D$11,3,0)," ")</f>
        <v xml:space="preserve"> </v>
      </c>
      <c r="E16" s="1"/>
      <c r="F16" s="1" t="str">
        <f>IFERROR(VLOOKUP(B16,Sheet2!$A$1:$D$11,4,0)," ")</f>
        <v xml:space="preserve"> </v>
      </c>
      <c r="G16" s="1" t="str">
        <f t="shared" si="0"/>
        <v xml:space="preserve"> </v>
      </c>
      <c r="H16" s="1" t="str">
        <f t="shared" si="1"/>
        <v xml:space="preserve"> </v>
      </c>
      <c r="I16" s="1" t="str">
        <f t="shared" si="2"/>
        <v xml:space="preserve"> </v>
      </c>
    </row>
    <row r="17" spans="1:9" x14ac:dyDescent="0.25">
      <c r="A17" s="1" t="str">
        <f t="shared" si="3"/>
        <v/>
      </c>
      <c r="B17" s="1"/>
      <c r="C17" s="1" t="str">
        <f>IFERROR(VLOOKUP(B17,Sheet2!$A$1:$D$11,2,0)," ")</f>
        <v xml:space="preserve"> </v>
      </c>
      <c r="D17" s="1" t="str">
        <f>IFERROR(VLOOKUP(B17,Sheet2!$A$1:$D$11,3,0)," ")</f>
        <v xml:space="preserve"> </v>
      </c>
      <c r="E17" s="1"/>
      <c r="F17" s="1" t="str">
        <f>IFERROR(VLOOKUP(B17,Sheet2!$A$1:$D$11,4,0)," ")</f>
        <v xml:space="preserve"> </v>
      </c>
      <c r="G17" s="1" t="str">
        <f t="shared" si="0"/>
        <v xml:space="preserve"> </v>
      </c>
      <c r="H17" s="1" t="str">
        <f t="shared" si="1"/>
        <v xml:space="preserve"> </v>
      </c>
      <c r="I17" s="1" t="str">
        <f t="shared" si="2"/>
        <v xml:space="preserve"> </v>
      </c>
    </row>
    <row r="18" spans="1:9" x14ac:dyDescent="0.25">
      <c r="A18" s="1" t="str">
        <f t="shared" si="3"/>
        <v/>
      </c>
      <c r="B18" s="1"/>
      <c r="C18" s="1" t="str">
        <f>IFERROR(VLOOKUP(B18,Sheet2!$A$1:$D$11,2,0)," ")</f>
        <v xml:space="preserve"> </v>
      </c>
      <c r="D18" s="1" t="str">
        <f>IFERROR(VLOOKUP(B18,Sheet2!$A$1:$D$11,3,0)," ")</f>
        <v xml:space="preserve"> </v>
      </c>
      <c r="E18" s="1"/>
      <c r="F18" s="1" t="str">
        <f>IFERROR(VLOOKUP(B18,Sheet2!$A$1:$D$11,4,0)," ")</f>
        <v xml:space="preserve"> </v>
      </c>
      <c r="G18" s="1" t="str">
        <f t="shared" si="0"/>
        <v xml:space="preserve"> </v>
      </c>
      <c r="H18" s="1" t="str">
        <f t="shared" si="1"/>
        <v xml:space="preserve"> </v>
      </c>
      <c r="I18" s="1" t="str">
        <f t="shared" si="2"/>
        <v xml:space="preserve"> </v>
      </c>
    </row>
    <row r="19" spans="1:9" x14ac:dyDescent="0.25">
      <c r="A19" s="1" t="str">
        <f t="shared" si="3"/>
        <v/>
      </c>
      <c r="B19" s="1"/>
      <c r="C19" s="1" t="str">
        <f>IFERROR(VLOOKUP(B19,Sheet2!$A$1:$D$11,2,0)," ")</f>
        <v xml:space="preserve"> </v>
      </c>
      <c r="D19" s="1" t="str">
        <f>IFERROR(VLOOKUP(B19,Sheet2!$A$1:$D$11,3,0)," ")</f>
        <v xml:space="preserve"> </v>
      </c>
      <c r="E19" s="1"/>
      <c r="F19" s="1" t="str">
        <f>IFERROR(VLOOKUP(B19,Sheet2!$A$1:$D$11,4,0)," ")</f>
        <v xml:space="preserve"> </v>
      </c>
      <c r="G19" s="1" t="str">
        <f t="shared" si="0"/>
        <v xml:space="preserve"> </v>
      </c>
      <c r="H19" s="1" t="str">
        <f t="shared" si="1"/>
        <v xml:space="preserve"> </v>
      </c>
      <c r="I19" s="1" t="str">
        <f t="shared" si="2"/>
        <v xml:space="preserve"> </v>
      </c>
    </row>
    <row r="20" spans="1:9" x14ac:dyDescent="0.25">
      <c r="A20" s="1" t="str">
        <f t="shared" si="3"/>
        <v/>
      </c>
      <c r="B20" s="1"/>
      <c r="C20" s="1" t="str">
        <f>IFERROR(VLOOKUP(B20,Sheet2!$A$1:$D$11,2,0)," ")</f>
        <v xml:space="preserve"> </v>
      </c>
      <c r="D20" s="1"/>
      <c r="E20" s="1"/>
      <c r="F20" s="1"/>
      <c r="G20" s="1"/>
      <c r="H20" s="1"/>
      <c r="I20" s="1"/>
    </row>
    <row r="21" spans="1:9" ht="15.75" x14ac:dyDescent="0.25">
      <c r="A21" s="1"/>
      <c r="B21" s="1"/>
      <c r="C21" s="1"/>
      <c r="D21" s="1"/>
      <c r="E21" s="1"/>
      <c r="F21" s="1"/>
      <c r="G21" s="1"/>
      <c r="H21" s="11" t="s">
        <v>48</v>
      </c>
      <c r="I21" s="11">
        <f>SUM(G11:G20)</f>
        <v>0</v>
      </c>
    </row>
    <row r="22" spans="1:9" ht="15.75" x14ac:dyDescent="0.25">
      <c r="A22" s="1" t="str">
        <f t="shared" ref="A22:A24" si="4">IF(B21="","",1)</f>
        <v/>
      </c>
      <c r="B22" s="1"/>
      <c r="C22" s="1"/>
      <c r="D22" s="1"/>
      <c r="E22" s="1"/>
      <c r="F22" s="1"/>
      <c r="G22" s="1"/>
      <c r="H22" s="11" t="str">
        <f>IF($I$8="InterState Sale","IGST","")</f>
        <v>IGST</v>
      </c>
      <c r="I22" s="11">
        <f>IF(H22="","",(I25-I21))</f>
        <v>0</v>
      </c>
    </row>
    <row r="23" spans="1:9" ht="15.75" x14ac:dyDescent="0.25">
      <c r="A23" s="1" t="str">
        <f t="shared" si="4"/>
        <v/>
      </c>
      <c r="B23" s="1"/>
      <c r="C23" s="1"/>
      <c r="D23" s="1"/>
      <c r="E23" s="1"/>
      <c r="F23" s="1"/>
      <c r="G23" s="1"/>
      <c r="H23" s="11" t="str">
        <f>IF($I$8="State Sale","CGST","")</f>
        <v/>
      </c>
      <c r="I23" s="11" t="str">
        <f>IF(H23="","",(I25-I21)/2)</f>
        <v/>
      </c>
    </row>
    <row r="24" spans="1:9" ht="15.75" x14ac:dyDescent="0.25">
      <c r="A24" s="1" t="str">
        <f t="shared" si="4"/>
        <v/>
      </c>
      <c r="B24" s="1"/>
      <c r="C24" s="1"/>
      <c r="D24" s="1"/>
      <c r="E24" s="1"/>
      <c r="F24" s="1"/>
      <c r="G24" s="1"/>
      <c r="H24" s="11" t="str">
        <f>IF($I$8="State Sale","SGST","")</f>
        <v/>
      </c>
      <c r="I24" s="11" t="str">
        <f>IF(H24="","",(I25-I21)/2)</f>
        <v/>
      </c>
    </row>
    <row r="25" spans="1:9" ht="15.75" x14ac:dyDescent="0.25">
      <c r="A25" s="11"/>
      <c r="B25" s="11" t="s">
        <v>47</v>
      </c>
      <c r="C25" s="19" t="str" cm="1">
        <f t="array" ref="C25">SpellNumber(I25)</f>
        <v>Rupees Zero Only</v>
      </c>
      <c r="D25" s="19"/>
      <c r="E25" s="19"/>
      <c r="F25" s="19"/>
      <c r="G25" s="19"/>
      <c r="H25" s="11" t="s">
        <v>46</v>
      </c>
      <c r="I25" s="11">
        <f>SUM(I11:I20)</f>
        <v>0</v>
      </c>
    </row>
  </sheetData>
  <mergeCells count="12">
    <mergeCell ref="C25:G25"/>
    <mergeCell ref="A7:B7"/>
    <mergeCell ref="A8:B8"/>
    <mergeCell ref="C6:G6"/>
    <mergeCell ref="C7:G7"/>
    <mergeCell ref="C8:G8"/>
    <mergeCell ref="A9:I9"/>
    <mergeCell ref="A1:I1"/>
    <mergeCell ref="A4:I4"/>
    <mergeCell ref="A5:I5"/>
    <mergeCell ref="A2:I3"/>
    <mergeCell ref="A6:B6"/>
  </mergeCells>
  <dataValidations count="1">
    <dataValidation type="list" allowBlank="1" showInputMessage="1" showErrorMessage="1" sqref="I8" xr:uid="{DC2ECBC0-95D0-49DD-A16F-947043465257}">
      <formula1>"InterState Sale, State Sale"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801460B-CE03-453C-BD04-3AD9DF24C1A6}">
          <x14:formula1>
            <xm:f>Sheet2!$A$16:$A$21</xm:f>
          </x14:formula1>
          <xm:sqref>C6:G6</xm:sqref>
        </x14:dataValidation>
        <x14:dataValidation type="list" allowBlank="1" showInputMessage="1" showErrorMessage="1" xr:uid="{3D654F44-78E0-42E8-B8A6-3B040AD2E813}">
          <x14:formula1>
            <xm:f>Sheet2!$A$2:$A$11</xm:f>
          </x14:formula1>
          <xm:sqref>B11:B19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720C9-A4E1-4121-9132-AF43496369EE}">
  <sheetPr codeName="Sheet2"/>
  <dimension ref="A1:D21"/>
  <sheetViews>
    <sheetView workbookViewId="0">
      <selection activeCell="C17" sqref="C17"/>
    </sheetView>
  </sheetViews>
  <sheetFormatPr defaultRowHeight="15" x14ac:dyDescent="0.25"/>
  <cols>
    <col min="1" max="1" width="36" customWidth="1"/>
    <col min="2" max="2" width="36.140625" customWidth="1"/>
    <col min="3" max="3" width="37.140625" customWidth="1"/>
    <col min="4" max="4" width="21.5703125" customWidth="1"/>
  </cols>
  <sheetData>
    <row r="1" spans="1:4" x14ac:dyDescent="0.25">
      <c r="A1" s="2" t="s">
        <v>0</v>
      </c>
      <c r="B1" s="2" t="s">
        <v>1</v>
      </c>
      <c r="C1" s="3" t="s">
        <v>2</v>
      </c>
      <c r="D1" s="2" t="s">
        <v>3</v>
      </c>
    </row>
    <row r="2" spans="1:4" x14ac:dyDescent="0.25">
      <c r="A2" s="4" t="s">
        <v>4</v>
      </c>
      <c r="B2" s="4">
        <v>7321</v>
      </c>
      <c r="C2" s="5">
        <v>0.18</v>
      </c>
      <c r="D2" s="6">
        <v>850</v>
      </c>
    </row>
    <row r="3" spans="1:4" x14ac:dyDescent="0.25">
      <c r="A3" s="4" t="s">
        <v>5</v>
      </c>
      <c r="B3" s="4">
        <v>7321</v>
      </c>
      <c r="C3" s="5">
        <v>0.12</v>
      </c>
      <c r="D3" s="6">
        <v>150</v>
      </c>
    </row>
    <row r="4" spans="1:4" x14ac:dyDescent="0.25">
      <c r="A4" s="4" t="s">
        <v>6</v>
      </c>
      <c r="B4" s="4">
        <v>7321</v>
      </c>
      <c r="C4" s="5">
        <v>0.18</v>
      </c>
      <c r="D4" s="6">
        <v>12000</v>
      </c>
    </row>
    <row r="5" spans="1:4" x14ac:dyDescent="0.25">
      <c r="A5" s="4" t="s">
        <v>7</v>
      </c>
      <c r="B5" s="4">
        <v>7321</v>
      </c>
      <c r="C5" s="5">
        <v>0.18</v>
      </c>
      <c r="D5" s="6">
        <v>8000</v>
      </c>
    </row>
    <row r="6" spans="1:4" x14ac:dyDescent="0.25">
      <c r="A6" s="4" t="s">
        <v>8</v>
      </c>
      <c r="B6" s="4">
        <v>1423</v>
      </c>
      <c r="C6" s="5">
        <v>0.12</v>
      </c>
      <c r="D6" s="6">
        <v>4000</v>
      </c>
    </row>
    <row r="7" spans="1:4" x14ac:dyDescent="0.25">
      <c r="A7" s="4" t="s">
        <v>9</v>
      </c>
      <c r="B7" s="4">
        <v>1423</v>
      </c>
      <c r="C7" s="5">
        <v>0.12</v>
      </c>
      <c r="D7" s="6">
        <v>3000</v>
      </c>
    </row>
    <row r="8" spans="1:4" x14ac:dyDescent="0.25">
      <c r="A8" s="4" t="s">
        <v>10</v>
      </c>
      <c r="B8" s="4">
        <v>1423</v>
      </c>
      <c r="C8" s="5">
        <v>0.12</v>
      </c>
      <c r="D8" s="6">
        <v>5000</v>
      </c>
    </row>
    <row r="9" spans="1:4" x14ac:dyDescent="0.25">
      <c r="A9" s="4" t="s">
        <v>11</v>
      </c>
      <c r="B9" s="4">
        <v>2345</v>
      </c>
      <c r="C9" s="5">
        <v>0.05</v>
      </c>
      <c r="D9" s="6">
        <v>1250</v>
      </c>
    </row>
    <row r="10" spans="1:4" x14ac:dyDescent="0.25">
      <c r="A10" s="4" t="s">
        <v>12</v>
      </c>
      <c r="B10" s="4">
        <v>8450</v>
      </c>
      <c r="C10" s="5">
        <v>0.05</v>
      </c>
      <c r="D10" s="6">
        <v>1500</v>
      </c>
    </row>
    <row r="11" spans="1:4" x14ac:dyDescent="0.25">
      <c r="A11" s="4" t="s">
        <v>13</v>
      </c>
      <c r="B11" s="4">
        <v>9850</v>
      </c>
      <c r="C11" s="5">
        <v>0.28000000000000003</v>
      </c>
      <c r="D11" s="6">
        <v>2500</v>
      </c>
    </row>
    <row r="15" spans="1:4" x14ac:dyDescent="0.25">
      <c r="A15" s="7" t="s">
        <v>14</v>
      </c>
      <c r="B15" s="7" t="s">
        <v>15</v>
      </c>
      <c r="C15" s="7" t="s">
        <v>16</v>
      </c>
    </row>
    <row r="16" spans="1:4" x14ac:dyDescent="0.25">
      <c r="A16" s="8" t="s">
        <v>17</v>
      </c>
      <c r="B16" s="8" t="s">
        <v>22</v>
      </c>
      <c r="C16" s="8" t="s">
        <v>28</v>
      </c>
    </row>
    <row r="17" spans="1:3" x14ac:dyDescent="0.25">
      <c r="A17" s="8" t="s">
        <v>53</v>
      </c>
      <c r="B17" s="8" t="s">
        <v>23</v>
      </c>
      <c r="C17" s="8" t="s">
        <v>54</v>
      </c>
    </row>
    <row r="18" spans="1:3" x14ac:dyDescent="0.25">
      <c r="A18" s="8" t="s">
        <v>18</v>
      </c>
      <c r="B18" s="8" t="s">
        <v>24</v>
      </c>
      <c r="C18" s="8" t="s">
        <v>29</v>
      </c>
    </row>
    <row r="19" spans="1:3" x14ac:dyDescent="0.25">
      <c r="A19" s="8" t="s">
        <v>19</v>
      </c>
      <c r="B19" s="8" t="s">
        <v>25</v>
      </c>
      <c r="C19" s="8" t="s">
        <v>30</v>
      </c>
    </row>
    <row r="20" spans="1:3" x14ac:dyDescent="0.25">
      <c r="A20" s="8" t="s">
        <v>20</v>
      </c>
      <c r="B20" s="8" t="s">
        <v>26</v>
      </c>
      <c r="C20" s="8" t="s">
        <v>31</v>
      </c>
    </row>
    <row r="21" spans="1:3" x14ac:dyDescent="0.25">
      <c r="A21" s="8" t="s">
        <v>21</v>
      </c>
      <c r="B21" s="8" t="s">
        <v>27</v>
      </c>
      <c r="C21" s="8" t="s">
        <v>32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Sheet1</vt:lpstr>
      <vt:lpstr>Sheet2</vt:lpstr>
      <vt:lpstr>Sheet1!Print_Area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RUPANJOLI BORA</dc:creator>
  <cp:lastModifiedBy>RUPANJOLI BORA</cp:lastModifiedBy>
  <cp:lastPrinted>2026-10-28T18:17:07Z</cp:lastPrinted>
  <dcterms:created xsi:type="dcterms:W3CDTF">2026-09-29T17:50:25Z</dcterms:created>
  <dcterms:modified xsi:type="dcterms:W3CDTF">2026-10-28T18:17:11Z</dcterms:modified>
</cp:coreProperties>
</file>